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3" documentId="11_F7203049AFAC1AFAA3196BB2E05C074706DAF122" xr6:coauthVersionLast="47" xr6:coauthVersionMax="47" xr10:uidLastSave="{9B35EFFE-513D-4599-8E98-FFF74F374827}"/>
  <bookViews>
    <workbookView xWindow="0" yWindow="0" windowWidth="16384" windowHeight="8192" tabRatio="500" xr2:uid="{00000000-000D-0000-FFFF-FFFF00000000}"/>
  </bookViews>
  <sheets>
    <sheet name="1. Assumptions" sheetId="1" r:id="rId1"/>
    <sheet name="2. Unit Economics" sheetId="2" r:id="rId2"/>
    <sheet name="3. P&amp;L &amp; ROI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3" l="1"/>
  <c r="D36" i="1"/>
  <c r="C36" i="1"/>
  <c r="C10" i="2"/>
  <c r="E18" i="2"/>
  <c r="C18" i="2"/>
  <c r="C13" i="3"/>
  <c r="D40" i="3"/>
  <c r="D39" i="3"/>
  <c r="D37" i="3"/>
  <c r="C6" i="3"/>
  <c r="D18" i="2"/>
  <c r="E8" i="2"/>
  <c r="D8" i="2"/>
  <c r="C8" i="2"/>
  <c r="E36" i="1"/>
  <c r="E28" i="1"/>
  <c r="D28" i="1"/>
  <c r="C28" i="1"/>
  <c r="E19" i="1"/>
  <c r="E14" i="2" s="1"/>
  <c r="D19" i="1"/>
  <c r="D14" i="2" s="1"/>
  <c r="C19" i="1"/>
  <c r="C14" i="2" s="1"/>
  <c r="E15" i="1"/>
  <c r="E9" i="2" s="1"/>
  <c r="D15" i="1"/>
  <c r="D9" i="2" s="1"/>
  <c r="C15" i="1"/>
  <c r="C9" i="2" s="1"/>
  <c r="D10" i="2" l="1"/>
  <c r="E10" i="2"/>
  <c r="C22" i="2"/>
  <c r="D22" i="2"/>
  <c r="E22" i="2"/>
  <c r="D38" i="3"/>
  <c r="C17" i="3"/>
  <c r="C16" i="3"/>
  <c r="C15" i="3"/>
  <c r="C14" i="3"/>
  <c r="C12" i="3"/>
  <c r="C11" i="3"/>
  <c r="C9" i="3"/>
  <c r="C8" i="3"/>
  <c r="Z22" i="3" l="1"/>
  <c r="Z28" i="3" s="1"/>
  <c r="Y22" i="3"/>
  <c r="Y28" i="3" s="1"/>
  <c r="X22" i="3"/>
  <c r="X28" i="3" s="1"/>
  <c r="W22" i="3"/>
  <c r="W28" i="3" s="1"/>
  <c r="V22" i="3"/>
  <c r="V28" i="3" s="1"/>
  <c r="U22" i="3"/>
  <c r="U28" i="3" s="1"/>
  <c r="T22" i="3"/>
  <c r="T28" i="3" s="1"/>
  <c r="S22" i="3"/>
  <c r="S28" i="3" s="1"/>
  <c r="R22" i="3"/>
  <c r="R28" i="3" s="1"/>
  <c r="Q22" i="3"/>
  <c r="Q28" i="3" s="1"/>
  <c r="P22" i="3"/>
  <c r="P28" i="3" s="1"/>
  <c r="O22" i="3"/>
  <c r="O28" i="3" s="1"/>
  <c r="N22" i="3"/>
  <c r="N28" i="3" s="1"/>
  <c r="M22" i="3"/>
  <c r="M28" i="3" s="1"/>
  <c r="L22" i="3"/>
  <c r="L28" i="3" s="1"/>
  <c r="K22" i="3"/>
  <c r="K28" i="3" s="1"/>
  <c r="J22" i="3"/>
  <c r="J28" i="3" s="1"/>
  <c r="I22" i="3"/>
  <c r="I28" i="3" s="1"/>
  <c r="H22" i="3"/>
  <c r="H28" i="3" s="1"/>
  <c r="G22" i="3"/>
  <c r="G28" i="3" s="1"/>
  <c r="F22" i="3"/>
  <c r="F28" i="3" s="1"/>
  <c r="E22" i="3"/>
  <c r="E28" i="3" s="1"/>
  <c r="D22" i="3"/>
  <c r="D28" i="3" s="1"/>
  <c r="C22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AA29" i="3" s="1"/>
  <c r="E15" i="2"/>
  <c r="E21" i="2" s="1"/>
  <c r="E25" i="2" s="1"/>
  <c r="E11" i="2"/>
  <c r="D15" i="2"/>
  <c r="D21" i="2" s="1"/>
  <c r="D25" i="2" s="1"/>
  <c r="D11" i="2"/>
  <c r="C15" i="2"/>
  <c r="C21" i="2" s="1"/>
  <c r="C25" i="2" s="1"/>
  <c r="C11" i="2"/>
  <c r="C28" i="3" l="1"/>
  <c r="AA28" i="3" s="1"/>
  <c r="C23" i="3"/>
  <c r="AA22" i="3"/>
  <c r="C26" i="3" l="1"/>
  <c r="C25" i="3"/>
  <c r="D23" i="3"/>
  <c r="D26" i="3" l="1"/>
  <c r="D25" i="3"/>
  <c r="D27" i="3" s="1"/>
  <c r="D30" i="3" s="1"/>
  <c r="D32" i="3" s="1"/>
  <c r="E23" i="3"/>
  <c r="C27" i="3"/>
  <c r="C30" i="3" l="1"/>
  <c r="E26" i="3"/>
  <c r="E25" i="3"/>
  <c r="F23" i="3"/>
  <c r="F26" i="3" l="1"/>
  <c r="F25" i="3"/>
  <c r="F27" i="3" s="1"/>
  <c r="F30" i="3" s="1"/>
  <c r="F32" i="3" s="1"/>
  <c r="G23" i="3"/>
  <c r="E27" i="3"/>
  <c r="C32" i="3"/>
  <c r="C41" i="3" l="1"/>
  <c r="D41" i="3" s="1"/>
  <c r="C33" i="3"/>
  <c r="D33" i="3" s="1"/>
  <c r="E30" i="3"/>
  <c r="G26" i="3"/>
  <c r="G25" i="3"/>
  <c r="H23" i="3"/>
  <c r="H26" i="3" l="1"/>
  <c r="H25" i="3"/>
  <c r="H27" i="3" s="1"/>
  <c r="H30" i="3" s="1"/>
  <c r="H32" i="3" s="1"/>
  <c r="I23" i="3"/>
  <c r="G27" i="3"/>
  <c r="E32" i="3"/>
  <c r="E33" i="3"/>
  <c r="F33" i="3" s="1"/>
  <c r="E41" i="3"/>
  <c r="F41" i="3" s="1"/>
  <c r="G30" i="3" l="1"/>
  <c r="I26" i="3"/>
  <c r="I25" i="3"/>
  <c r="J23" i="3"/>
  <c r="J26" i="3" l="1"/>
  <c r="J25" i="3"/>
  <c r="J27" i="3" s="1"/>
  <c r="J30" i="3" s="1"/>
  <c r="J32" i="3" s="1"/>
  <c r="K23" i="3"/>
  <c r="I27" i="3"/>
  <c r="G32" i="3"/>
  <c r="G41" i="3" l="1"/>
  <c r="H41" i="3" s="1"/>
  <c r="G33" i="3"/>
  <c r="H33" i="3" s="1"/>
  <c r="I30" i="3"/>
  <c r="K26" i="3"/>
  <c r="K25" i="3"/>
  <c r="L23" i="3"/>
  <c r="L26" i="3" l="1"/>
  <c r="L25" i="3"/>
  <c r="L27" i="3" s="1"/>
  <c r="L30" i="3" s="1"/>
  <c r="L32" i="3" s="1"/>
  <c r="M23" i="3"/>
  <c r="K27" i="3"/>
  <c r="I32" i="3"/>
  <c r="I33" i="3"/>
  <c r="J33" i="3" s="1"/>
  <c r="I41" i="3"/>
  <c r="J41" i="3" s="1"/>
  <c r="K30" i="3" l="1"/>
  <c r="M26" i="3"/>
  <c r="M25" i="3"/>
  <c r="N23" i="3"/>
  <c r="N26" i="3" l="1"/>
  <c r="N25" i="3"/>
  <c r="N27" i="3" s="1"/>
  <c r="N30" i="3" s="1"/>
  <c r="N32" i="3" s="1"/>
  <c r="O23" i="3"/>
  <c r="M27" i="3"/>
  <c r="K32" i="3"/>
  <c r="K41" i="3" l="1"/>
  <c r="L41" i="3" s="1"/>
  <c r="K33" i="3"/>
  <c r="L33" i="3" s="1"/>
  <c r="M30" i="3"/>
  <c r="O26" i="3"/>
  <c r="O25" i="3"/>
  <c r="P23" i="3"/>
  <c r="P26" i="3" l="1"/>
  <c r="P25" i="3"/>
  <c r="P27" i="3" s="1"/>
  <c r="P30" i="3" s="1"/>
  <c r="P32" i="3" s="1"/>
  <c r="Q23" i="3"/>
  <c r="O27" i="3"/>
  <c r="M32" i="3"/>
  <c r="M33" i="3"/>
  <c r="N33" i="3" s="1"/>
  <c r="M41" i="3"/>
  <c r="N41" i="3" s="1"/>
  <c r="O30" i="3" l="1"/>
  <c r="Q26" i="3"/>
  <c r="Q25" i="3"/>
  <c r="R23" i="3"/>
  <c r="R26" i="3" l="1"/>
  <c r="R25" i="3"/>
  <c r="R27" i="3" s="1"/>
  <c r="R30" i="3" s="1"/>
  <c r="R32" i="3" s="1"/>
  <c r="S23" i="3"/>
  <c r="Q27" i="3"/>
  <c r="O32" i="3"/>
  <c r="O41" i="3" l="1"/>
  <c r="P41" i="3" s="1"/>
  <c r="O33" i="3"/>
  <c r="P33" i="3" s="1"/>
  <c r="Q30" i="3"/>
  <c r="S26" i="3"/>
  <c r="S25" i="3"/>
  <c r="T23" i="3"/>
  <c r="T26" i="3" l="1"/>
  <c r="T25" i="3"/>
  <c r="T27" i="3" s="1"/>
  <c r="T30" i="3" s="1"/>
  <c r="T32" i="3" s="1"/>
  <c r="U23" i="3"/>
  <c r="S27" i="3"/>
  <c r="Q32" i="3"/>
  <c r="Q33" i="3"/>
  <c r="R33" i="3" s="1"/>
  <c r="Q41" i="3"/>
  <c r="R41" i="3" s="1"/>
  <c r="S30" i="3" l="1"/>
  <c r="U26" i="3"/>
  <c r="U25" i="3"/>
  <c r="V23" i="3"/>
  <c r="V26" i="3" l="1"/>
  <c r="V25" i="3"/>
  <c r="V27" i="3" s="1"/>
  <c r="V30" i="3" s="1"/>
  <c r="V32" i="3" s="1"/>
  <c r="W23" i="3"/>
  <c r="U27" i="3"/>
  <c r="S32" i="3"/>
  <c r="S41" i="3" l="1"/>
  <c r="T41" i="3" s="1"/>
  <c r="S33" i="3"/>
  <c r="T33" i="3" s="1"/>
  <c r="U30" i="3"/>
  <c r="W26" i="3"/>
  <c r="W25" i="3"/>
  <c r="X23" i="3"/>
  <c r="X26" i="3" l="1"/>
  <c r="X25" i="3"/>
  <c r="X27" i="3" s="1"/>
  <c r="X30" i="3" s="1"/>
  <c r="X32" i="3" s="1"/>
  <c r="Y23" i="3"/>
  <c r="W27" i="3"/>
  <c r="U32" i="3"/>
  <c r="U33" i="3"/>
  <c r="V33" i="3" s="1"/>
  <c r="U41" i="3"/>
  <c r="V41" i="3" s="1"/>
  <c r="W30" i="3" l="1"/>
  <c r="Y26" i="3"/>
  <c r="Y25" i="3"/>
  <c r="Z23" i="3"/>
  <c r="Z26" i="3" l="1"/>
  <c r="Z25" i="3"/>
  <c r="Z27" i="3" s="1"/>
  <c r="Z30" i="3" s="1"/>
  <c r="Z32" i="3" s="1"/>
  <c r="Y27" i="3"/>
  <c r="AA25" i="3"/>
  <c r="AA26" i="3"/>
  <c r="W32" i="3"/>
  <c r="W41" i="3" l="1"/>
  <c r="X41" i="3" s="1"/>
  <c r="W33" i="3"/>
  <c r="X33" i="3" s="1"/>
  <c r="Y30" i="3"/>
  <c r="AA27" i="3"/>
  <c r="Y32" i="3" l="1"/>
  <c r="AA30" i="3"/>
  <c r="Y33" i="3"/>
  <c r="Z33" i="3" s="1"/>
  <c r="Y41" i="3"/>
  <c r="Z41" i="3" s="1"/>
  <c r="C37" i="3" l="1"/>
  <c r="C38" i="3"/>
  <c r="AA32" i="3"/>
  <c r="C44" i="3" l="1"/>
  <c r="C40" i="3"/>
  <c r="C39" i="3"/>
</calcChain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<sst xmlns="http://schemas.openxmlformats.org/spreadsheetml/2006/main" count="153" uniqueCount="137">
  <si>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</si>
  <si>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</si>
  <si>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</si>
  <si>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</si>
  <si>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</si>
  <si>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</si>
  <si>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</si>
  <si>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</si>
  <si>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</si>
  <si>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</si>
  <si>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</si>
  <si>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</si>
  <si>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</si>
  <si>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</si>
  <si>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</si>
  <si>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</si>
  <si>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</si>
  <si>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</si>
  <si>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</si>
  <si>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</si>
  <si>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</si>
  <si>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</si>
  <si>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</si>
  <si>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</si>
  <si>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</si>
  <si>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</si>
  <si>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</si>
  <si>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</si>
  <si>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</si>
  <si>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</si>
  <si>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</si>
  <si>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</si>
  <si>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</si>
  <si>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</si>
  <si>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</si>
  <si>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</si>
  <si>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</si>
  <si>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</si>
  <si>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</si>
  <si>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</si>
  <si>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</si>
  <si>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</si>
  <si>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</si>
  <si>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</si>
  <si>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</si>
  <si>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</si>
  <si>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</si>
  <si>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</si>
  <si>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</si>
  <si>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</si>
  <si>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</si>
  <si>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 xml:space="preserve">Tại sao bạn chọn mức ARPU và CAC như trên? Logic gì để bảo vệ những con số này trước nhà đầu tư? Viết 2-3 câu...
- Bức tranh có đẹp  nhưng không build đưọc trust từ phía stackholder thì rất khó để có thể pitching gọi vốn đuợc, vì đơn giản là họ không có tin
- Cần phải build đuợc khá nhiều năng lực Project Management khi chưa có kinh nghiệm thực tế, dặc biệt bằng cấp về quản trị (MBA)
- Khi nói chuyện với các nhà đầu tư thì mình chỉ nói chuyện với nhau về cái tầm nhìn Optimistic, 
- Muốn gọi vốn cần rất nhiều yếu tố,
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</si>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</sst>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20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64748B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  <font>
      <sz val="10"/>
      <color rgb="FF008000"/>
      <name val="Arial"/>
      <charset val="1"/>
    </font>
    <font>
      <b/>
      <sz val="11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000000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DCFCE7"/>
        <bgColor rgb="FFCCFFCC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E2E2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164" fontId="6" fillId="7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/>
    </xf>
    <xf numFmtId="165" fontId="6" fillId="7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4" fillId="5" borderId="0" xfId="0" applyFont="1" applyFill="1" applyAlignment="1">
      <alignment horizontal="left" vertical="center"/>
    </xf>
    <xf numFmtId="166" fontId="4" fillId="5" borderId="0" xfId="0" applyNumberFormat="1" applyFont="1" applyFill="1" applyAlignment="1">
      <alignment horizontal="right" vertical="center"/>
    </xf>
    <xf numFmtId="0" fontId="0" fillId="5" borderId="0" xfId="0" applyFill="1"/>
    <xf numFmtId="164" fontId="4" fillId="5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7" fontId="4" fillId="5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0" fontId="2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 indent="1"/>
    </xf>
    <xf numFmtId="164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0" fontId="14" fillId="5" borderId="0" xfId="0" applyFont="1" applyFill="1"/>
    <xf numFmtId="0" fontId="15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164" fontId="16" fillId="0" borderId="0" xfId="0" applyNumberFormat="1" applyFont="1" applyAlignment="1">
      <alignment horizontal="right"/>
    </xf>
    <xf numFmtId="164" fontId="14" fillId="0" borderId="0" xfId="0" applyNumberFormat="1" applyFont="1"/>
    <xf numFmtId="0" fontId="4" fillId="4" borderId="0" xfId="0" applyFont="1" applyFill="1" applyAlignment="1">
      <alignment horizontal="left" vertical="center"/>
    </xf>
    <xf numFmtId="164" fontId="15" fillId="4" borderId="0" xfId="0" applyNumberFormat="1" applyFont="1" applyFill="1" applyAlignment="1">
      <alignment horizontal="right"/>
    </xf>
    <xf numFmtId="164" fontId="14" fillId="4" borderId="0" xfId="0" applyNumberFormat="1" applyFont="1" applyFill="1"/>
    <xf numFmtId="164" fontId="15" fillId="0" borderId="0" xfId="0" applyNumberFormat="1" applyFont="1" applyAlignment="1">
      <alignment horizontal="right"/>
    </xf>
    <xf numFmtId="164" fontId="15" fillId="5" borderId="0" xfId="0" applyNumberFormat="1" applyFont="1" applyFill="1" applyAlignment="1">
      <alignment horizontal="right"/>
    </xf>
    <xf numFmtId="164" fontId="14" fillId="5" borderId="0" xfId="0" applyNumberFormat="1" applyFont="1" applyFill="1"/>
    <xf numFmtId="0" fontId="4" fillId="8" borderId="0" xfId="0" applyFont="1" applyFill="1" applyAlignment="1">
      <alignment horizontal="left" vertical="center"/>
    </xf>
    <xf numFmtId="164" fontId="15" fillId="8" borderId="0" xfId="0" applyNumberFormat="1" applyFont="1" applyFill="1" applyAlignment="1">
      <alignment horizontal="right"/>
    </xf>
    <xf numFmtId="164" fontId="17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8" fillId="0" borderId="0" xfId="0" applyFont="1"/>
    <xf numFmtId="164" fontId="18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indent="1"/>
    </xf>
    <xf numFmtId="0" fontId="7" fillId="7" borderId="3" xfId="0" applyFont="1" applyFill="1" applyBorder="1" applyAlignment="1">
      <alignment horizontal="left" vertical="top" wrapText="1" indent="1"/>
    </xf>
    <xf numFmtId="0" fontId="19" fillId="0" borderId="0" xfId="0" applyFont="1" applyAlignment="1">
      <alignment horizontal="left" vertical="center"/>
    </xf>
  </cellXfs>
  <cellStyles count="1">
    <cellStyle name="Normal" xfId="0" builtinId="0"/>
  </cellStyles>
  <dxfs count="47"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16A34A"/>
        <name val="Arial"/>
        <charset val="1"/>
      </font>
      <fill>
        <patternFill>
          <bgColor rgb="FFDCFCE7"/>
        </patternFill>
      </fill>
    </dxf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16A34A"/>
        <name val="Arial"/>
        <charset val="1"/>
      </font>
      <fill>
        <patternFill>
          <bgColor rgb="FFDCFCE7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1"/>
  <sheetViews>
    <sheetView tabSelected="1" zoomScaleNormal="100" workbookViewId="0">
      <pane ySplit="5" topLeftCell="A21" activePane="bottomLeft" state="frozen"/>
      <selection pane="bottomLeft" activeCell="B39" sqref="B39:F41"/>
    </sheetView>
  </sheetViews>
  <sheetFormatPr defaultColWidth="8.7109375" defaultRowHeight="15"/>
  <cols>
    <col min="1" max="1" width="3" customWidth="1"/>
    <col min="2" max="2" width="47.28515625" customWidth="1"/>
    <col min="3" max="5" width="16" customWidth="1"/>
    <col min="6" max="6" width="17" customWidth="1"/>
    <col min="7" max="7" width="50" customWidth="1"/>
  </cols>
  <sheetData>
    <row r="2" spans="2:7" ht="30" customHeight="1">
      <c r="B2" s="48" t="s">
        <v>0</v>
      </c>
      <c r="C2" s="48"/>
      <c r="D2" s="48"/>
      <c r="E2" s="48"/>
      <c r="F2" s="48"/>
    </row>
    <row r="3" spans="2:7" ht="19.5" customHeight="1">
      <c r="B3" s="49" t="s">
        <v>1</v>
      </c>
      <c r="C3" s="49"/>
      <c r="D3" s="49"/>
      <c r="E3" s="49"/>
      <c r="F3" s="49"/>
      <c r="G3" s="49"/>
    </row>
    <row r="5" spans="2:7">
      <c r="B5" s="50" t="s">
        <v>2</v>
      </c>
      <c r="C5" s="50"/>
      <c r="D5" s="50"/>
      <c r="E5" s="50"/>
      <c r="F5" s="50"/>
    </row>
    <row r="6" spans="2:7">
      <c r="C6" s="2" t="s">
        <v>3</v>
      </c>
      <c r="D6" s="3" t="s">
        <v>4</v>
      </c>
      <c r="E6" s="4" t="s">
        <v>5</v>
      </c>
      <c r="F6" s="5" t="s">
        <v>6</v>
      </c>
      <c r="G6" s="6" t="s">
        <v>7</v>
      </c>
    </row>
    <row r="7" spans="2:7">
      <c r="B7" s="7" t="s">
        <v>8</v>
      </c>
      <c r="C7" s="8">
        <v>800000</v>
      </c>
      <c r="D7" s="8">
        <v>600000</v>
      </c>
      <c r="E7" s="8">
        <v>450000</v>
      </c>
      <c r="F7" s="9" t="s">
        <v>9</v>
      </c>
      <c r="G7" s="1" t="s">
        <v>10</v>
      </c>
    </row>
    <row r="8" spans="2:7">
      <c r="B8" s="7" t="s">
        <v>11</v>
      </c>
      <c r="C8" s="10">
        <v>1.2E-2</v>
      </c>
      <c r="D8" s="10">
        <v>6.0000000000000001E-3</v>
      </c>
      <c r="E8" s="10">
        <v>2E-3</v>
      </c>
      <c r="F8" s="9" t="s">
        <v>12</v>
      </c>
      <c r="G8" s="1" t="s">
        <v>13</v>
      </c>
    </row>
    <row r="9" spans="2:7">
      <c r="B9" s="7" t="s">
        <v>14</v>
      </c>
      <c r="C9" s="8">
        <v>50000</v>
      </c>
      <c r="D9" s="8">
        <v>50000</v>
      </c>
      <c r="E9" s="8">
        <v>50000</v>
      </c>
      <c r="F9" s="9" t="s">
        <v>15</v>
      </c>
      <c r="G9" s="1" t="s">
        <v>16</v>
      </c>
    </row>
    <row r="11" spans="2:7">
      <c r="B11" s="50" t="s">
        <v>17</v>
      </c>
      <c r="C11" s="50"/>
      <c r="D11" s="50"/>
      <c r="E11" s="50"/>
      <c r="F11" s="50"/>
    </row>
    <row r="12" spans="2:7">
      <c r="B12" s="7" t="s">
        <v>18</v>
      </c>
      <c r="C12" s="8">
        <v>100000</v>
      </c>
      <c r="D12" s="8">
        <v>150000</v>
      </c>
      <c r="E12" s="8">
        <v>200000</v>
      </c>
      <c r="F12" s="9" t="s">
        <v>9</v>
      </c>
      <c r="G12" s="1" t="s">
        <v>19</v>
      </c>
    </row>
    <row r="13" spans="2:7">
      <c r="B13" s="7" t="s">
        <v>20</v>
      </c>
      <c r="C13" s="8">
        <v>30000</v>
      </c>
      <c r="D13" s="8">
        <v>60000</v>
      </c>
      <c r="E13" s="8">
        <v>100000</v>
      </c>
      <c r="F13" s="9" t="s">
        <v>9</v>
      </c>
      <c r="G13" s="1" t="s">
        <v>21</v>
      </c>
    </row>
    <row r="14" spans="2:7">
      <c r="B14" s="7" t="s">
        <v>22</v>
      </c>
      <c r="C14" s="8">
        <v>20000</v>
      </c>
      <c r="D14" s="8">
        <v>30000</v>
      </c>
      <c r="E14" s="8">
        <v>50000</v>
      </c>
      <c r="F14" s="9" t="s">
        <v>9</v>
      </c>
      <c r="G14" s="1" t="s">
        <v>23</v>
      </c>
    </row>
    <row r="15" spans="2:7">
      <c r="B15" s="11" t="s">
        <v>24</v>
      </c>
      <c r="C15" s="12">
        <f>C12+C13+C14</f>
        <v>150000</v>
      </c>
      <c r="D15" s="12">
        <f>D12+D13+D14</f>
        <v>240000</v>
      </c>
      <c r="E15" s="12">
        <f>E12+E13+E14</f>
        <v>350000</v>
      </c>
      <c r="F15" s="13"/>
    </row>
    <row r="17" spans="2:7">
      <c r="B17" s="50" t="s">
        <v>25</v>
      </c>
      <c r="C17" s="50"/>
      <c r="D17" s="50"/>
      <c r="E17" s="50"/>
      <c r="F17" s="50"/>
    </row>
    <row r="18" spans="2:7">
      <c r="B18" s="7" t="s">
        <v>26</v>
      </c>
      <c r="C18" s="10">
        <v>0.03</v>
      </c>
      <c r="D18" s="10">
        <v>0.05</v>
      </c>
      <c r="E18" s="10">
        <v>0.08</v>
      </c>
      <c r="F18" s="9" t="s">
        <v>27</v>
      </c>
      <c r="G18" s="1" t="s">
        <v>28</v>
      </c>
    </row>
    <row r="19" spans="2:7">
      <c r="B19" s="14" t="s">
        <v>29</v>
      </c>
      <c r="C19" s="15">
        <f>IFERROR(1/C18,0)</f>
        <v>33.333333333333336</v>
      </c>
      <c r="D19" s="15">
        <f>IFERROR(1/D18,0)</f>
        <v>20</v>
      </c>
      <c r="E19" s="15">
        <f>IFERROR(1/E18,0)</f>
        <v>12.5</v>
      </c>
      <c r="F19" s="16"/>
    </row>
    <row r="21" spans="2:7">
      <c r="B21" s="50" t="s">
        <v>30</v>
      </c>
      <c r="C21" s="50"/>
      <c r="D21" s="50"/>
      <c r="E21" s="50"/>
      <c r="F21" s="50"/>
    </row>
    <row r="22" spans="2:7">
      <c r="B22" s="7" t="s">
        <v>31</v>
      </c>
      <c r="C22" s="8">
        <v>800000</v>
      </c>
      <c r="D22" s="8">
        <v>1500000</v>
      </c>
      <c r="E22" s="8">
        <v>2500000</v>
      </c>
      <c r="F22" s="9" t="s">
        <v>9</v>
      </c>
      <c r="G22" s="1" t="s">
        <v>32</v>
      </c>
    </row>
    <row r="24" spans="2:7">
      <c r="B24" s="50" t="s">
        <v>33</v>
      </c>
      <c r="C24" s="50"/>
      <c r="D24" s="50"/>
      <c r="E24" s="50"/>
      <c r="F24" s="50"/>
    </row>
    <row r="25" spans="2:7">
      <c r="B25" s="7" t="s">
        <v>34</v>
      </c>
      <c r="C25" s="8">
        <v>80000000</v>
      </c>
      <c r="D25" s="8">
        <v>100000000</v>
      </c>
      <c r="E25" s="8">
        <v>120000000</v>
      </c>
      <c r="F25" s="9" t="s">
        <v>35</v>
      </c>
      <c r="G25" s="1" t="s">
        <v>36</v>
      </c>
    </row>
    <row r="26" spans="2:7">
      <c r="B26" s="7" t="s">
        <v>37</v>
      </c>
      <c r="C26" s="8">
        <v>15000000</v>
      </c>
      <c r="D26" s="8">
        <v>20000000</v>
      </c>
      <c r="E26" s="8">
        <v>25000000</v>
      </c>
      <c r="F26" s="9" t="s">
        <v>35</v>
      </c>
    </row>
    <row r="27" spans="2:7">
      <c r="B27" s="7" t="s">
        <v>38</v>
      </c>
      <c r="C27" s="8">
        <v>50000000</v>
      </c>
      <c r="D27" s="8">
        <v>80000000</v>
      </c>
      <c r="E27" s="8">
        <v>100000000</v>
      </c>
      <c r="F27" s="9" t="s">
        <v>35</v>
      </c>
    </row>
    <row r="28" spans="2:7">
      <c r="B28" s="14" t="s">
        <v>39</v>
      </c>
      <c r="C28" s="17">
        <f>SUM(C25:C27)</f>
        <v>145000000</v>
      </c>
      <c r="D28" s="17">
        <f>SUM(D25:D27)</f>
        <v>200000000</v>
      </c>
      <c r="E28" s="17">
        <f>SUM(E25:E27)</f>
        <v>245000000</v>
      </c>
      <c r="F28" s="16"/>
    </row>
    <row r="30" spans="2:7">
      <c r="B30" s="50" t="s">
        <v>40</v>
      </c>
      <c r="C30" s="50"/>
      <c r="D30" s="50"/>
      <c r="E30" s="50"/>
      <c r="F30" s="50"/>
    </row>
    <row r="31" spans="2:7">
      <c r="B31" s="7" t="s">
        <v>41</v>
      </c>
      <c r="C31" s="8">
        <v>500000000</v>
      </c>
      <c r="D31" s="8">
        <v>500000000</v>
      </c>
      <c r="E31" s="8">
        <v>500000000</v>
      </c>
      <c r="F31" s="9" t="s">
        <v>9</v>
      </c>
      <c r="G31" s="1" t="s">
        <v>42</v>
      </c>
    </row>
    <row r="32" spans="2:7">
      <c r="B32" s="7" t="s">
        <v>43</v>
      </c>
      <c r="C32" s="8">
        <v>3000000000</v>
      </c>
      <c r="D32" s="8">
        <v>3000000000</v>
      </c>
      <c r="E32" s="8">
        <v>3000000000</v>
      </c>
      <c r="F32" s="9" t="s">
        <v>9</v>
      </c>
      <c r="G32" s="1" t="s">
        <v>44</v>
      </c>
    </row>
    <row r="34" spans="2:7">
      <c r="B34" s="50" t="s">
        <v>45</v>
      </c>
      <c r="C34" s="50"/>
      <c r="D34" s="50"/>
      <c r="E34" s="50"/>
      <c r="F34" s="50"/>
    </row>
    <row r="35" spans="2:7">
      <c r="B35" s="7" t="s">
        <v>46</v>
      </c>
      <c r="C35" s="10">
        <v>0.2</v>
      </c>
      <c r="D35" s="10">
        <v>0.2</v>
      </c>
      <c r="E35" s="10">
        <v>0.2</v>
      </c>
      <c r="F35" s="9" t="s">
        <v>47</v>
      </c>
      <c r="G35" s="1" t="s">
        <v>48</v>
      </c>
    </row>
    <row r="36" spans="2:7">
      <c r="B36" s="14" t="s">
        <v>49</v>
      </c>
      <c r="C36" s="18">
        <f>(1+C35)^(1/12)-1</f>
        <v>1.5309470499731193E-2</v>
      </c>
      <c r="D36" s="18">
        <f>(1+D35)^(1/12)-1</f>
        <v>1.5309470499731193E-2</v>
      </c>
      <c r="E36" s="18">
        <f>(1+E35)^(1/12)-1</f>
        <v>1.5309470499731193E-2</v>
      </c>
      <c r="F36" s="16"/>
    </row>
    <row r="38" spans="2:7">
      <c r="B38" s="50" t="s">
        <v>50</v>
      </c>
      <c r="C38" s="50"/>
      <c r="D38" s="50"/>
      <c r="E38" s="50"/>
      <c r="F38" s="50"/>
    </row>
    <row r="39" spans="2:7" ht="24.75" customHeight="1">
      <c r="B39" s="51" t="s">
        <v>51</v>
      </c>
      <c r="C39" s="51"/>
      <c r="D39" s="51"/>
      <c r="E39" s="51"/>
      <c r="F39" s="51"/>
    </row>
    <row r="40" spans="2:7" ht="24.75" customHeight="1">
      <c r="B40" s="51"/>
      <c r="C40" s="51"/>
      <c r="D40" s="51"/>
      <c r="E40" s="51"/>
      <c r="F40" s="51"/>
    </row>
    <row r="41" spans="2:7" ht="76.5" customHeight="1">
      <c r="B41" s="51"/>
      <c r="C41" s="51"/>
      <c r="D41" s="51"/>
      <c r="E41" s="51"/>
      <c r="F41" s="51"/>
    </row>
  </sheetData>
  <mergeCells count="11">
    <mergeCell ref="B39:F41"/>
    <mergeCell ref="B21:F21"/>
    <mergeCell ref="B24:F24"/>
    <mergeCell ref="B30:F30"/>
    <mergeCell ref="B34:F34"/>
    <mergeCell ref="B38:F38"/>
    <mergeCell ref="B2:F2"/>
    <mergeCell ref="B3:G3"/>
    <mergeCell ref="B5:F5"/>
    <mergeCell ref="B11:F1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5"/>
  <sheetViews>
    <sheetView zoomScaleNormal="100" workbookViewId="0">
      <pane ySplit="5" topLeftCell="A6" activePane="bottomLeft" state="frozen"/>
      <selection pane="bottomLeft" activeCell="E27" sqref="E27"/>
    </sheetView>
  </sheetViews>
  <sheetFormatPr defaultColWidth="8.7109375" defaultRowHeight="15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>
      <c r="B2" s="48" t="s">
        <v>52</v>
      </c>
      <c r="C2" s="48"/>
      <c r="D2" s="48"/>
      <c r="E2" s="48"/>
      <c r="F2" s="48"/>
    </row>
    <row r="3" spans="2:7" ht="19.5" customHeight="1">
      <c r="B3" s="49" t="s">
        <v>53</v>
      </c>
      <c r="C3" s="49"/>
      <c r="D3" s="49"/>
      <c r="E3" s="49"/>
      <c r="F3" s="49"/>
      <c r="G3" s="49"/>
    </row>
    <row r="5" spans="2:7">
      <c r="B5" s="6" t="s">
        <v>54</v>
      </c>
      <c r="C5" s="2" t="s">
        <v>3</v>
      </c>
      <c r="D5" s="3" t="s">
        <v>4</v>
      </c>
      <c r="E5" s="4" t="s">
        <v>5</v>
      </c>
      <c r="F5" s="5" t="s">
        <v>6</v>
      </c>
      <c r="G5" s="6" t="s">
        <v>55</v>
      </c>
    </row>
    <row r="7" spans="2:7">
      <c r="B7" s="50" t="s">
        <v>56</v>
      </c>
      <c r="C7" s="50"/>
      <c r="D7" s="50"/>
      <c r="E7" s="50"/>
      <c r="F7" s="50"/>
    </row>
    <row r="8" spans="2:7">
      <c r="B8" s="7" t="s">
        <v>57</v>
      </c>
      <c r="C8" s="19">
        <f>'1. Assumptions'!C7</f>
        <v>800000</v>
      </c>
      <c r="D8" s="19">
        <f>'1. Assumptions'!D7</f>
        <v>600000</v>
      </c>
      <c r="E8" s="19">
        <f>'1. Assumptions'!E7</f>
        <v>450000</v>
      </c>
      <c r="F8" s="9" t="s">
        <v>9</v>
      </c>
      <c r="G8" s="1" t="s">
        <v>58</v>
      </c>
    </row>
    <row r="9" spans="2:7">
      <c r="B9" s="7" t="s">
        <v>59</v>
      </c>
      <c r="C9" s="19">
        <f>'1. Assumptions'!C15</f>
        <v>150000</v>
      </c>
      <c r="D9" s="19">
        <f>'1. Assumptions'!D15</f>
        <v>240000</v>
      </c>
      <c r="E9" s="19">
        <f>'1. Assumptions'!E15</f>
        <v>350000</v>
      </c>
      <c r="F9" s="9" t="s">
        <v>9</v>
      </c>
    </row>
    <row r="10" spans="2:7">
      <c r="B10" s="14" t="s">
        <v>60</v>
      </c>
      <c r="C10" s="17">
        <f>C8-C9</f>
        <v>650000</v>
      </c>
      <c r="D10" s="17">
        <f>D8-D9</f>
        <v>360000</v>
      </c>
      <c r="E10" s="17">
        <f>E8-E9</f>
        <v>100000</v>
      </c>
      <c r="F10" s="16"/>
    </row>
    <row r="11" spans="2:7">
      <c r="B11" s="14" t="s">
        <v>61</v>
      </c>
      <c r="C11" s="18">
        <f>IFERROR(C10/C8,0)</f>
        <v>0.8125</v>
      </c>
      <c r="D11" s="18">
        <f>IFERROR(D10/D8,0)</f>
        <v>0.6</v>
      </c>
      <c r="E11" s="18">
        <f>IFERROR(E10/E8,0)</f>
        <v>0.22222222222222221</v>
      </c>
      <c r="F11" s="16"/>
      <c r="G11" s="1" t="s">
        <v>62</v>
      </c>
    </row>
    <row r="13" spans="2:7">
      <c r="B13" s="50" t="s">
        <v>63</v>
      </c>
      <c r="C13" s="50"/>
      <c r="D13" s="50"/>
      <c r="E13" s="50"/>
      <c r="F13" s="50"/>
    </row>
    <row r="14" spans="2:7">
      <c r="B14" s="7" t="s">
        <v>64</v>
      </c>
      <c r="C14" s="20">
        <f>'1. Assumptions'!C19</f>
        <v>33.333333333333336</v>
      </c>
      <c r="D14" s="20">
        <f>'1. Assumptions'!D19</f>
        <v>20</v>
      </c>
      <c r="E14" s="20">
        <f>'1. Assumptions'!E19</f>
        <v>12.5</v>
      </c>
      <c r="F14" s="9" t="s">
        <v>65</v>
      </c>
    </row>
    <row r="15" spans="2:7">
      <c r="B15" s="14" t="s">
        <v>66</v>
      </c>
      <c r="C15" s="17">
        <f>C10*C14</f>
        <v>21666666.666666668</v>
      </c>
      <c r="D15" s="17">
        <f>D10*D14</f>
        <v>7200000</v>
      </c>
      <c r="E15" s="17">
        <f>E10*E14</f>
        <v>1250000</v>
      </c>
      <c r="F15" s="16"/>
      <c r="G15" s="1" t="s">
        <v>67</v>
      </c>
    </row>
    <row r="17" spans="2:7">
      <c r="B17" s="50" t="s">
        <v>68</v>
      </c>
      <c r="C17" s="50"/>
      <c r="D17" s="50"/>
      <c r="E17" s="50"/>
      <c r="F17" s="50"/>
    </row>
    <row r="18" spans="2:7">
      <c r="B18" s="7" t="s">
        <v>69</v>
      </c>
      <c r="C18" s="19">
        <f>'1. Assumptions'!C22</f>
        <v>800000</v>
      </c>
      <c r="D18" s="19">
        <f>'1. Assumptions'!D22</f>
        <v>1500000</v>
      </c>
      <c r="E18" s="19">
        <f>'1. Assumptions'!E22</f>
        <v>2500000</v>
      </c>
      <c r="F18" s="9" t="s">
        <v>9</v>
      </c>
    </row>
    <row r="20" spans="2:7">
      <c r="B20" s="50" t="s">
        <v>70</v>
      </c>
      <c r="C20" s="50"/>
      <c r="D20" s="50"/>
      <c r="E20" s="50"/>
      <c r="F20" s="50"/>
    </row>
    <row r="21" spans="2:7">
      <c r="B21" s="14" t="s">
        <v>71</v>
      </c>
      <c r="C21" s="21">
        <f>IFERROR(C15/C18,0)</f>
        <v>27.083333333333336</v>
      </c>
      <c r="D21" s="21">
        <f>IFERROR(D15/D18,0)</f>
        <v>4.8</v>
      </c>
      <c r="E21" s="21">
        <f>IFERROR(E15/E18,0)</f>
        <v>0.5</v>
      </c>
      <c r="F21" s="16"/>
      <c r="G21" s="1" t="s">
        <v>72</v>
      </c>
    </row>
    <row r="22" spans="2:7">
      <c r="B22" s="14" t="s">
        <v>73</v>
      </c>
      <c r="C22" s="15">
        <f>IFERROR(C18/C10,0)</f>
        <v>1.2307692307692308</v>
      </c>
      <c r="D22" s="15">
        <f>IFERROR(D18/D10,0)</f>
        <v>4.166666666666667</v>
      </c>
      <c r="E22" s="15">
        <f>IFERROR(E18/E10,0)</f>
        <v>25</v>
      </c>
      <c r="F22" s="16"/>
      <c r="G22" s="1" t="s">
        <v>74</v>
      </c>
    </row>
    <row r="24" spans="2:7">
      <c r="B24" s="50" t="s">
        <v>75</v>
      </c>
      <c r="C24" s="50"/>
      <c r="D24" s="50"/>
      <c r="E24" s="50"/>
      <c r="F24" s="50"/>
    </row>
    <row r="25" spans="2:7">
      <c r="B25" s="6" t="s">
        <v>76</v>
      </c>
      <c r="C25" s="22" t="str">
        <f>IF(AND(C21&gt;=3,C22&lt;=12),"✓ HEALTHY",IF(OR(C21&lt;1,C22&gt;18),"✗ UNHEALTHY","⚠ WATCH"))</f>
        <v>✓ HEALTHY</v>
      </c>
      <c r="D25" s="22" t="str">
        <f>IF(AND(D21&gt;=3,D22&lt;=12),"✓ HEALTHY",IF(OR(D21&lt;1,D22&gt;18),"✗ UNHEALTHY","⚠ WATCH"))</f>
        <v>✓ HEALTHY</v>
      </c>
      <c r="E25" s="22" t="str">
        <f>IF(AND(E21&gt;=3,E22&lt;=12),"✓ HEALTHY",IF(OR(E21&lt;1,E22&gt;18),"✗ UNHEALTHY","⚠ WATCH"))</f>
        <v>✗ UNHEALTHY</v>
      </c>
    </row>
  </sheetData>
  <mergeCells count="7">
    <mergeCell ref="B20:F20"/>
    <mergeCell ref="B24:F24"/>
    <mergeCell ref="B2:F2"/>
    <mergeCell ref="B3:G3"/>
    <mergeCell ref="B7:F7"/>
    <mergeCell ref="B13:F13"/>
    <mergeCell ref="B17:F17"/>
  </mergeCells>
  <conditionalFormatting sqref="C21">
    <cfRule type="cellIs" dxfId="46" priority="2" operator="lessThan">
      <formula>1</formula>
    </cfRule>
    <cfRule type="cellIs" dxfId="45" priority="3" operator="between">
      <formula>1</formula>
      <formula>3</formula>
    </cfRule>
    <cfRule type="cellIs" dxfId="44" priority="4" operator="greaterThanOrEqual">
      <formula>3</formula>
    </cfRule>
  </conditionalFormatting>
  <conditionalFormatting sqref="D21">
    <cfRule type="cellIs" dxfId="43" priority="5" operator="lessThan">
      <formula>1</formula>
    </cfRule>
    <cfRule type="cellIs" dxfId="42" priority="6" operator="between">
      <formula>1</formula>
      <formula>3</formula>
    </cfRule>
    <cfRule type="cellIs" dxfId="41" priority="7" operator="greaterThanOrEqual">
      <formula>3</formula>
    </cfRule>
  </conditionalFormatting>
  <conditionalFormatting sqref="E21">
    <cfRule type="cellIs" dxfId="40" priority="8" operator="lessThan">
      <formula>1</formula>
    </cfRule>
    <cfRule type="cellIs" dxfId="39" priority="9" operator="between">
      <formula>1</formula>
      <formula>3</formula>
    </cfRule>
    <cfRule type="cellIs" dxfId="38" priority="10" operator="greaterThanOrEqual">
      <formula>3</formula>
    </cfRule>
  </conditionalFormatting>
  <conditionalFormatting sqref="C22">
    <cfRule type="cellIs" dxfId="37" priority="11" operator="greaterThan">
      <formula>18</formula>
    </cfRule>
    <cfRule type="cellIs" dxfId="36" priority="12" operator="between">
      <formula>12</formula>
      <formula>18</formula>
    </cfRule>
    <cfRule type="cellIs" dxfId="35" priority="13" operator="lessThanOrEqual">
      <formula>12</formula>
    </cfRule>
  </conditionalFormatting>
  <conditionalFormatting sqref="D22">
    <cfRule type="cellIs" dxfId="34" priority="14" operator="greaterThan">
      <formula>18</formula>
    </cfRule>
    <cfRule type="cellIs" dxfId="33" priority="15" operator="between">
      <formula>12</formula>
      <formula>18</formula>
    </cfRule>
    <cfRule type="cellIs" dxfId="32" priority="16" operator="lessThanOrEqual">
      <formula>12</formula>
    </cfRule>
  </conditionalFormatting>
  <conditionalFormatting sqref="E22">
    <cfRule type="cellIs" dxfId="31" priority="17" operator="greaterThan">
      <formula>18</formula>
    </cfRule>
    <cfRule type="cellIs" dxfId="30" priority="18" operator="between">
      <formula>12</formula>
      <formula>18</formula>
    </cfRule>
    <cfRule type="cellIs" dxfId="29" priority="19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44"/>
  <sheetViews>
    <sheetView zoomScaleNormal="100" workbookViewId="0">
      <pane xSplit="2" ySplit="21" topLeftCell="C22" activePane="bottomRight" state="frozen"/>
      <selection pane="bottomRight" activeCell="C10" sqref="C10"/>
      <selection pane="bottomLeft" activeCell="A22" sqref="A22"/>
      <selection pane="topRight" activeCell="C1" sqref="C1"/>
    </sheetView>
  </sheetViews>
  <sheetFormatPr defaultColWidth="8.7109375" defaultRowHeight="15"/>
  <cols>
    <col min="1" max="1" width="3" customWidth="1"/>
    <col min="2" max="2" width="36" customWidth="1"/>
    <col min="3" max="26" width="13" customWidth="1"/>
    <col min="27" max="27" width="16" customWidth="1"/>
  </cols>
  <sheetData>
    <row r="2" spans="2:8" ht="30" customHeight="1">
      <c r="B2" s="48" t="s">
        <v>77</v>
      </c>
      <c r="C2" s="48"/>
      <c r="D2" s="48"/>
      <c r="E2" s="48"/>
      <c r="F2" s="48"/>
      <c r="G2" s="48"/>
      <c r="H2" s="48"/>
    </row>
    <row r="4" spans="2:8" ht="15" customHeight="1">
      <c r="B4" s="23" t="s">
        <v>78</v>
      </c>
      <c r="C4" s="24" t="s">
        <v>4</v>
      </c>
      <c r="D4" s="49" t="s">
        <v>79</v>
      </c>
      <c r="E4" s="49"/>
      <c r="F4" s="49"/>
      <c r="G4" s="49"/>
      <c r="H4" s="49"/>
    </row>
    <row r="6" spans="2:8">
      <c r="B6" s="25" t="s">
        <v>80</v>
      </c>
      <c r="C6" s="25">
        <f>MATCH(C4,{"Optimistic","Base","Pessimistic"},0)</f>
        <v>2</v>
      </c>
    </row>
    <row r="7" spans="2:8">
      <c r="B7" s="26" t="s">
        <v>81</v>
      </c>
    </row>
    <row r="8" spans="2:8">
      <c r="B8" s="27" t="s">
        <v>82</v>
      </c>
      <c r="C8" s="28">
        <f>CHOOSE($C$6,'1. Assumptions'!C7,'1. Assumptions'!D7,'1. Assumptions'!E7)</f>
        <v>600000</v>
      </c>
    </row>
    <row r="9" spans="2:8">
      <c r="B9" s="27" t="s">
        <v>83</v>
      </c>
      <c r="C9" s="29">
        <f>CHOOSE($C$6,'1. Assumptions'!C8,'1. Assumptions'!D8,'1. Assumptions'!E8)</f>
        <v>6.0000000000000001E-3</v>
      </c>
    </row>
    <row r="10" spans="2:8">
      <c r="B10" s="27" t="s">
        <v>84</v>
      </c>
      <c r="C10" s="28">
        <f>CHOOSE($C$6,'1. Assumptions'!C9,'1. Assumptions'!D9,'1. Assumptions'!E9)</f>
        <v>50000</v>
      </c>
    </row>
    <row r="11" spans="2:8">
      <c r="B11" s="27" t="s">
        <v>85</v>
      </c>
      <c r="C11" s="28">
        <f>CHOOSE($C$6,'1. Assumptions'!C15,'1. Assumptions'!D15,'1. Assumptions'!E15)</f>
        <v>240000</v>
      </c>
    </row>
    <row r="12" spans="2:8">
      <c r="B12" s="27" t="s">
        <v>86</v>
      </c>
      <c r="C12" s="29">
        <f>CHOOSE($C$6,'1. Assumptions'!C18,'1. Assumptions'!D18,'1. Assumptions'!E18)</f>
        <v>0.05</v>
      </c>
    </row>
    <row r="13" spans="2:8">
      <c r="B13" s="27" t="s">
        <v>87</v>
      </c>
      <c r="C13" s="28">
        <f>CHOOSE($C$6,'1. Assumptions'!C22,'1. Assumptions'!D22,'1. Assumptions'!E22)</f>
        <v>1500000</v>
      </c>
    </row>
    <row r="14" spans="2:8">
      <c r="B14" s="27" t="s">
        <v>88</v>
      </c>
      <c r="C14" s="28">
        <f>CHOOSE($C$6,'1. Assumptions'!C28,'1. Assumptions'!D28,'1. Assumptions'!E28)</f>
        <v>200000000</v>
      </c>
    </row>
    <row r="15" spans="2:8">
      <c r="B15" s="27" t="s">
        <v>89</v>
      </c>
      <c r="C15" s="28">
        <f>CHOOSE($C$6,'1. Assumptions'!C31,'1. Assumptions'!D31,'1. Assumptions'!E31)</f>
        <v>500000000</v>
      </c>
    </row>
    <row r="16" spans="2:8">
      <c r="B16" s="27" t="s">
        <v>90</v>
      </c>
      <c r="C16" s="28">
        <f>CHOOSE($C$6,'1. Assumptions'!C32,'1. Assumptions'!D32,'1. Assumptions'!E32)</f>
        <v>3000000000</v>
      </c>
    </row>
    <row r="17" spans="2:27">
      <c r="B17" s="27" t="s">
        <v>91</v>
      </c>
      <c r="C17" s="29">
        <f>CHOOSE($C$6,'1. Assumptions'!C36,'1. Assumptions'!D36,'1. Assumptions'!E36)</f>
        <v>1.5309470499731193E-2</v>
      </c>
    </row>
    <row r="20" spans="2:27">
      <c r="B20" s="50" t="s">
        <v>92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2:27">
      <c r="B21" s="30" t="s">
        <v>93</v>
      </c>
      <c r="C21" s="31" t="s">
        <v>94</v>
      </c>
      <c r="D21" s="31" t="s">
        <v>95</v>
      </c>
      <c r="E21" s="31" t="s">
        <v>96</v>
      </c>
      <c r="F21" s="31" t="s">
        <v>97</v>
      </c>
      <c r="G21" s="31" t="s">
        <v>98</v>
      </c>
      <c r="H21" s="31" t="s">
        <v>99</v>
      </c>
      <c r="I21" s="31" t="s">
        <v>100</v>
      </c>
      <c r="J21" s="31" t="s">
        <v>101</v>
      </c>
      <c r="K21" s="31" t="s">
        <v>102</v>
      </c>
      <c r="L21" s="31" t="s">
        <v>103</v>
      </c>
      <c r="M21" s="31" t="s">
        <v>104</v>
      </c>
      <c r="N21" s="31" t="s">
        <v>105</v>
      </c>
      <c r="O21" s="31" t="s">
        <v>106</v>
      </c>
      <c r="P21" s="31" t="s">
        <v>107</v>
      </c>
      <c r="Q21" s="31" t="s">
        <v>108</v>
      </c>
      <c r="R21" s="31" t="s">
        <v>109</v>
      </c>
      <c r="S21" s="31" t="s">
        <v>110</v>
      </c>
      <c r="T21" s="31" t="s">
        <v>111</v>
      </c>
      <c r="U21" s="31" t="s">
        <v>112</v>
      </c>
      <c r="V21" s="31" t="s">
        <v>113</v>
      </c>
      <c r="W21" s="31" t="s">
        <v>114</v>
      </c>
      <c r="X21" s="31" t="s">
        <v>115</v>
      </c>
      <c r="Y21" s="31" t="s">
        <v>116</v>
      </c>
      <c r="Z21" s="31" t="s">
        <v>117</v>
      </c>
      <c r="AA21" s="32" t="s">
        <v>118</v>
      </c>
    </row>
    <row r="22" spans="2:27">
      <c r="B22" s="7" t="s">
        <v>119</v>
      </c>
      <c r="C22" s="33">
        <f>ROUND($C$10*$C$9,0)</f>
        <v>300</v>
      </c>
      <c r="D22" s="33">
        <f>ROUND($C$10*$C$9,0)</f>
        <v>300</v>
      </c>
      <c r="E22" s="33">
        <f>ROUND($C$10*$C$9,0)</f>
        <v>300</v>
      </c>
      <c r="F22" s="33">
        <f>ROUND($C$10*$C$9,0)</f>
        <v>300</v>
      </c>
      <c r="G22" s="33">
        <f>ROUND($C$10*$C$9,0)</f>
        <v>300</v>
      </c>
      <c r="H22" s="33">
        <f>ROUND($C$10*$C$9,0)</f>
        <v>300</v>
      </c>
      <c r="I22" s="33">
        <f>ROUND($C$10*$C$9,0)</f>
        <v>300</v>
      </c>
      <c r="J22" s="33">
        <f>ROUND($C$10*$C$9,0)</f>
        <v>300</v>
      </c>
      <c r="K22" s="33">
        <f>ROUND($C$10*$C$9,0)</f>
        <v>300</v>
      </c>
      <c r="L22" s="33">
        <f>ROUND($C$10*$C$9,0)</f>
        <v>300</v>
      </c>
      <c r="M22" s="33">
        <f>ROUND($C$10*$C$9,0)</f>
        <v>300</v>
      </c>
      <c r="N22" s="33">
        <f>ROUND($C$10*$C$9,0)</f>
        <v>300</v>
      </c>
      <c r="O22" s="33">
        <f>ROUND($C$10*$C$9,0)</f>
        <v>300</v>
      </c>
      <c r="P22" s="33">
        <f>ROUND($C$10*$C$9,0)</f>
        <v>300</v>
      </c>
      <c r="Q22" s="33">
        <f>ROUND($C$10*$C$9,0)</f>
        <v>300</v>
      </c>
      <c r="R22" s="33">
        <f>ROUND($C$10*$C$9,0)</f>
        <v>300</v>
      </c>
      <c r="S22" s="33">
        <f>ROUND($C$10*$C$9,0)</f>
        <v>300</v>
      </c>
      <c r="T22" s="33">
        <f>ROUND($C$10*$C$9,0)</f>
        <v>300</v>
      </c>
      <c r="U22" s="33">
        <f>ROUND($C$10*$C$9,0)</f>
        <v>300</v>
      </c>
      <c r="V22" s="33">
        <f>ROUND($C$10*$C$9,0)</f>
        <v>300</v>
      </c>
      <c r="W22" s="33">
        <f>ROUND($C$10*$C$9,0)</f>
        <v>300</v>
      </c>
      <c r="X22" s="33">
        <f>ROUND($C$10*$C$9,0)</f>
        <v>300</v>
      </c>
      <c r="Y22" s="33">
        <f>ROUND($C$10*$C$9,0)</f>
        <v>300</v>
      </c>
      <c r="Z22" s="33">
        <f>ROUND($C$10*$C$9,0)</f>
        <v>300</v>
      </c>
      <c r="AA22" s="34">
        <f>SUM(C22:Z22)</f>
        <v>7200</v>
      </c>
    </row>
    <row r="23" spans="2:27">
      <c r="B23" s="7" t="s">
        <v>120</v>
      </c>
      <c r="C23" s="33">
        <f>C22</f>
        <v>300</v>
      </c>
      <c r="D23" s="33">
        <f>C23*(1-$C$12)+D22</f>
        <v>585</v>
      </c>
      <c r="E23" s="33">
        <f>D23*(1-$C$12)+E22</f>
        <v>855.75</v>
      </c>
      <c r="F23" s="33">
        <f>E23*(1-$C$12)+F22</f>
        <v>1112.9625000000001</v>
      </c>
      <c r="G23" s="33">
        <f>F23*(1-$C$12)+G22</f>
        <v>1357.3143749999999</v>
      </c>
      <c r="H23" s="33">
        <f>G23*(1-$C$12)+H22</f>
        <v>1589.4486562499999</v>
      </c>
      <c r="I23" s="33">
        <f>H23*(1-$C$12)+I22</f>
        <v>1809.9762234374998</v>
      </c>
      <c r="J23" s="33">
        <f>I23*(1-$C$12)+J22</f>
        <v>2019.4774122656247</v>
      </c>
      <c r="K23" s="33">
        <f>J23*(1-$C$12)+K22</f>
        <v>2218.5035416523433</v>
      </c>
      <c r="L23" s="33">
        <f>K23*(1-$C$12)+L22</f>
        <v>2407.5783645697261</v>
      </c>
      <c r="M23" s="33">
        <f>L23*(1-$C$12)+M22</f>
        <v>2587.1994463412398</v>
      </c>
      <c r="N23" s="33">
        <f>M23*(1-$C$12)+N22</f>
        <v>2757.8394740241774</v>
      </c>
      <c r="O23" s="33">
        <f>N23*(1-$C$12)+O22</f>
        <v>2919.9475003229686</v>
      </c>
      <c r="P23" s="33">
        <f>O23*(1-$C$12)+P22</f>
        <v>3073.9501253068202</v>
      </c>
      <c r="Q23" s="33">
        <f>P23*(1-$C$12)+Q22</f>
        <v>3220.2526190414792</v>
      </c>
      <c r="R23" s="33">
        <f>Q23*(1-$C$12)+R22</f>
        <v>3359.239988089405</v>
      </c>
      <c r="S23" s="33">
        <f>R23*(1-$C$12)+S22</f>
        <v>3491.2779886849344</v>
      </c>
      <c r="T23" s="33">
        <f>S23*(1-$C$12)+T22</f>
        <v>3616.7140892506877</v>
      </c>
      <c r="U23" s="33">
        <f>T23*(1-$C$12)+U22</f>
        <v>3735.8783847881532</v>
      </c>
      <c r="V23" s="33">
        <f>U23*(1-$C$12)+V22</f>
        <v>3849.0844655487454</v>
      </c>
      <c r="W23" s="33">
        <f>V23*(1-$C$12)+W22</f>
        <v>3956.6302422713079</v>
      </c>
      <c r="X23" s="33">
        <f>W23*(1-$C$12)+X22</f>
        <v>4058.7987301577423</v>
      </c>
      <c r="Y23" s="33">
        <f>X23*(1-$C$12)+Y22</f>
        <v>4155.8587936498552</v>
      </c>
      <c r="Z23" s="33">
        <f>Y23*(1-$C$12)+Z22</f>
        <v>4248.0658539673623</v>
      </c>
    </row>
    <row r="25" spans="2:27">
      <c r="B25" s="35" t="s">
        <v>121</v>
      </c>
      <c r="C25" s="36">
        <f>C23*$C$8</f>
        <v>180000000</v>
      </c>
      <c r="D25" s="36">
        <f>D23*$C$8</f>
        <v>351000000</v>
      </c>
      <c r="E25" s="36">
        <f>E23*$C$8</f>
        <v>513450000</v>
      </c>
      <c r="F25" s="36">
        <f>F23*$C$8</f>
        <v>667777500</v>
      </c>
      <c r="G25" s="36">
        <f>G23*$C$8</f>
        <v>814388625</v>
      </c>
      <c r="H25" s="36">
        <f>H23*$C$8</f>
        <v>953669193.74999988</v>
      </c>
      <c r="I25" s="36">
        <f>I23*$C$8</f>
        <v>1085985734.0625</v>
      </c>
      <c r="J25" s="36">
        <f>J23*$C$8</f>
        <v>1211686447.3593748</v>
      </c>
      <c r="K25" s="36">
        <f>K23*$C$8</f>
        <v>1331102124.991406</v>
      </c>
      <c r="L25" s="36">
        <f>L23*$C$8</f>
        <v>1444547018.7418356</v>
      </c>
      <c r="M25" s="36">
        <f>M23*$C$8</f>
        <v>1552319667.8047438</v>
      </c>
      <c r="N25" s="36">
        <f>N23*$C$8</f>
        <v>1654703684.4145064</v>
      </c>
      <c r="O25" s="36">
        <f>O23*$C$8</f>
        <v>1751968500.1937811</v>
      </c>
      <c r="P25" s="36">
        <f>P23*$C$8</f>
        <v>1844370075.184092</v>
      </c>
      <c r="Q25" s="36">
        <f>Q23*$C$8</f>
        <v>1932151571.4248874</v>
      </c>
      <c r="R25" s="36">
        <f>R23*$C$8</f>
        <v>2015543992.8536429</v>
      </c>
      <c r="S25" s="36">
        <f>S23*$C$8</f>
        <v>2094766793.2109606</v>
      </c>
      <c r="T25" s="36">
        <f>T23*$C$8</f>
        <v>2170028453.5504127</v>
      </c>
      <c r="U25" s="36">
        <f>U23*$C$8</f>
        <v>2241527030.8728919</v>
      </c>
      <c r="V25" s="36">
        <f>V23*$C$8</f>
        <v>2309450679.329247</v>
      </c>
      <c r="W25" s="36">
        <f>W23*$C$8</f>
        <v>2373978145.3627849</v>
      </c>
      <c r="X25" s="36">
        <f>X23*$C$8</f>
        <v>2435279238.0946455</v>
      </c>
      <c r="Y25" s="36">
        <f>Y23*$C$8</f>
        <v>2493515276.1899133</v>
      </c>
      <c r="Z25" s="36">
        <f>Z23*$C$8</f>
        <v>2548839512.3804173</v>
      </c>
      <c r="AA25" s="37">
        <f>SUM(C25:Z25)</f>
        <v>37972049264.772041</v>
      </c>
    </row>
    <row r="26" spans="2:27">
      <c r="B26" s="7" t="s">
        <v>122</v>
      </c>
      <c r="C26" s="33">
        <f>C23*$C$11</f>
        <v>72000000</v>
      </c>
      <c r="D26" s="33">
        <f>D23*$C$11</f>
        <v>140400000</v>
      </c>
      <c r="E26" s="33">
        <f>E23*$C$11</f>
        <v>205380000</v>
      </c>
      <c r="F26" s="33">
        <f>F23*$C$11</f>
        <v>267111000.00000003</v>
      </c>
      <c r="G26" s="33">
        <f>G23*$C$11</f>
        <v>325755450</v>
      </c>
      <c r="H26" s="33">
        <f>H23*$C$11</f>
        <v>381467677.5</v>
      </c>
      <c r="I26" s="33">
        <f>I23*$C$11</f>
        <v>434394293.62499994</v>
      </c>
      <c r="J26" s="33">
        <f>J23*$C$11</f>
        <v>484674578.9437499</v>
      </c>
      <c r="K26" s="33">
        <f>K23*$C$11</f>
        <v>532440849.99656242</v>
      </c>
      <c r="L26" s="33">
        <f>L23*$C$11</f>
        <v>577818807.49673426</v>
      </c>
      <c r="M26" s="33">
        <f>M23*$C$11</f>
        <v>620927867.12189758</v>
      </c>
      <c r="N26" s="33">
        <f>N23*$C$11</f>
        <v>661881473.76580262</v>
      </c>
      <c r="O26" s="33">
        <f>O23*$C$11</f>
        <v>700787400.0775125</v>
      </c>
      <c r="P26" s="33">
        <f>P23*$C$11</f>
        <v>737748030.07363689</v>
      </c>
      <c r="Q26" s="33">
        <f>Q23*$C$11</f>
        <v>772860628.56995499</v>
      </c>
      <c r="R26" s="33">
        <f>R23*$C$11</f>
        <v>806217597.1414572</v>
      </c>
      <c r="S26" s="33">
        <f>S23*$C$11</f>
        <v>837906717.28438425</v>
      </c>
      <c r="T26" s="33">
        <f>T23*$C$11</f>
        <v>868011381.42016506</v>
      </c>
      <c r="U26" s="33">
        <f>U23*$C$11</f>
        <v>896610812.34915674</v>
      </c>
      <c r="V26" s="33">
        <f>V23*$C$11</f>
        <v>923780271.73169887</v>
      </c>
      <c r="W26" s="33">
        <f>W23*$C$11</f>
        <v>949591258.14511395</v>
      </c>
      <c r="X26" s="33">
        <f>X23*$C$11</f>
        <v>974111695.23785818</v>
      </c>
      <c r="Y26" s="33">
        <f>Y23*$C$11</f>
        <v>997406110.47596526</v>
      </c>
      <c r="Z26" s="33">
        <f>Z23*$C$11</f>
        <v>1019535804.9521669</v>
      </c>
      <c r="AA26" s="34">
        <f>SUM(C26:Z26)</f>
        <v>15188819705.908819</v>
      </c>
    </row>
    <row r="27" spans="2:27">
      <c r="B27" s="6" t="s">
        <v>123</v>
      </c>
      <c r="C27" s="38">
        <f>C25-C26</f>
        <v>108000000</v>
      </c>
      <c r="D27" s="38">
        <f>D25-D26</f>
        <v>210600000</v>
      </c>
      <c r="E27" s="38">
        <f>E25-E26</f>
        <v>308070000</v>
      </c>
      <c r="F27" s="38">
        <f>F25-F26</f>
        <v>400666500</v>
      </c>
      <c r="G27" s="38">
        <f>G25-G26</f>
        <v>488633175</v>
      </c>
      <c r="H27" s="38">
        <f>H25-H26</f>
        <v>572201516.24999988</v>
      </c>
      <c r="I27" s="38">
        <f>I25-I26</f>
        <v>651591440.4375</v>
      </c>
      <c r="J27" s="38">
        <f>J25-J26</f>
        <v>727011868.41562486</v>
      </c>
      <c r="K27" s="38">
        <f>K25-K26</f>
        <v>798661274.99484348</v>
      </c>
      <c r="L27" s="38">
        <f>L25-L26</f>
        <v>866728211.24510133</v>
      </c>
      <c r="M27" s="38">
        <f>M25-M26</f>
        <v>931391800.68284619</v>
      </c>
      <c r="N27" s="38">
        <f>N25-N26</f>
        <v>992822210.64870381</v>
      </c>
      <c r="O27" s="38">
        <f>O25-O26</f>
        <v>1051181100.1162686</v>
      </c>
      <c r="P27" s="38">
        <f>P25-P26</f>
        <v>1106622045.110455</v>
      </c>
      <c r="Q27" s="38">
        <f>Q25-Q26</f>
        <v>1159290942.8549323</v>
      </c>
      <c r="R27" s="38">
        <f>R25-R26</f>
        <v>1209326395.7121859</v>
      </c>
      <c r="S27" s="38">
        <f>S25-S26</f>
        <v>1256860075.9265764</v>
      </c>
      <c r="T27" s="38">
        <f>T25-T26</f>
        <v>1302017072.1302476</v>
      </c>
      <c r="U27" s="38">
        <f>U25-U26</f>
        <v>1344916218.523735</v>
      </c>
      <c r="V27" s="38">
        <f>V25-V26</f>
        <v>1385670407.597548</v>
      </c>
      <c r="W27" s="38">
        <f>W25-W26</f>
        <v>1424386887.2176709</v>
      </c>
      <c r="X27" s="38">
        <f>X25-X26</f>
        <v>1461167542.8567872</v>
      </c>
      <c r="Y27" s="38">
        <f>Y25-Y26</f>
        <v>1496109165.713948</v>
      </c>
      <c r="Z27" s="38">
        <f>Z25-Z26</f>
        <v>1529303707.4282503</v>
      </c>
      <c r="AA27" s="34">
        <f>SUM(C27:Z27)</f>
        <v>22783229558.863224</v>
      </c>
    </row>
    <row r="28" spans="2:27">
      <c r="B28" s="7" t="s">
        <v>124</v>
      </c>
      <c r="C28" s="33">
        <f>C22*$C$13</f>
        <v>450000000</v>
      </c>
      <c r="D28" s="33">
        <f>D22*$C$13</f>
        <v>450000000</v>
      </c>
      <c r="E28" s="33">
        <f>E22*$C$13</f>
        <v>450000000</v>
      </c>
      <c r="F28" s="33">
        <f>F22*$C$13</f>
        <v>450000000</v>
      </c>
      <c r="G28" s="33">
        <f>G22*$C$13</f>
        <v>450000000</v>
      </c>
      <c r="H28" s="33">
        <f>H22*$C$13</f>
        <v>450000000</v>
      </c>
      <c r="I28" s="33">
        <f>I22*$C$13</f>
        <v>450000000</v>
      </c>
      <c r="J28" s="33">
        <f>J22*$C$13</f>
        <v>450000000</v>
      </c>
      <c r="K28" s="33">
        <f>K22*$C$13</f>
        <v>450000000</v>
      </c>
      <c r="L28" s="33">
        <f>L22*$C$13</f>
        <v>450000000</v>
      </c>
      <c r="M28" s="33">
        <f>M22*$C$13</f>
        <v>450000000</v>
      </c>
      <c r="N28" s="33">
        <f>N22*$C$13</f>
        <v>450000000</v>
      </c>
      <c r="O28" s="33">
        <f>O22*$C$13</f>
        <v>450000000</v>
      </c>
      <c r="P28" s="33">
        <f>P22*$C$13</f>
        <v>450000000</v>
      </c>
      <c r="Q28" s="33">
        <f>Q22*$C$13</f>
        <v>450000000</v>
      </c>
      <c r="R28" s="33">
        <f>R22*$C$13</f>
        <v>450000000</v>
      </c>
      <c r="S28" s="33">
        <f>S22*$C$13</f>
        <v>450000000</v>
      </c>
      <c r="T28" s="33">
        <f>T22*$C$13</f>
        <v>450000000</v>
      </c>
      <c r="U28" s="33">
        <f>U22*$C$13</f>
        <v>450000000</v>
      </c>
      <c r="V28" s="33">
        <f>V22*$C$13</f>
        <v>450000000</v>
      </c>
      <c r="W28" s="33">
        <f>W22*$C$13</f>
        <v>450000000</v>
      </c>
      <c r="X28" s="33">
        <f>X22*$C$13</f>
        <v>450000000</v>
      </c>
      <c r="Y28" s="33">
        <f>Y22*$C$13</f>
        <v>450000000</v>
      </c>
      <c r="Z28" s="33">
        <f>Z22*$C$13</f>
        <v>450000000</v>
      </c>
      <c r="AA28" s="34">
        <f>SUM(C28:Z28)</f>
        <v>10800000000</v>
      </c>
    </row>
    <row r="29" spans="2:27">
      <c r="B29" s="7" t="s">
        <v>125</v>
      </c>
      <c r="C29" s="33">
        <f>$C$14</f>
        <v>200000000</v>
      </c>
      <c r="D29" s="33">
        <f>$C$14</f>
        <v>200000000</v>
      </c>
      <c r="E29" s="33">
        <f>$C$14</f>
        <v>200000000</v>
      </c>
      <c r="F29" s="33">
        <f>$C$14</f>
        <v>200000000</v>
      </c>
      <c r="G29" s="33">
        <f>$C$14</f>
        <v>200000000</v>
      </c>
      <c r="H29" s="33">
        <f>$C$14</f>
        <v>200000000</v>
      </c>
      <c r="I29" s="33">
        <f>$C$14</f>
        <v>200000000</v>
      </c>
      <c r="J29" s="33">
        <f>$C$14</f>
        <v>200000000</v>
      </c>
      <c r="K29" s="33">
        <f>$C$14</f>
        <v>200000000</v>
      </c>
      <c r="L29" s="33">
        <f>$C$14</f>
        <v>200000000</v>
      </c>
      <c r="M29" s="33">
        <f>$C$14</f>
        <v>200000000</v>
      </c>
      <c r="N29" s="33">
        <f>$C$14</f>
        <v>200000000</v>
      </c>
      <c r="O29" s="33">
        <f>$C$14</f>
        <v>200000000</v>
      </c>
      <c r="P29" s="33">
        <f>$C$14</f>
        <v>200000000</v>
      </c>
      <c r="Q29" s="33">
        <f>$C$14</f>
        <v>200000000</v>
      </c>
      <c r="R29" s="33">
        <f>$C$14</f>
        <v>200000000</v>
      </c>
      <c r="S29" s="33">
        <f>$C$14</f>
        <v>200000000</v>
      </c>
      <c r="T29" s="33">
        <f>$C$14</f>
        <v>200000000</v>
      </c>
      <c r="U29" s="33">
        <f>$C$14</f>
        <v>200000000</v>
      </c>
      <c r="V29" s="33">
        <f>$C$14</f>
        <v>200000000</v>
      </c>
      <c r="W29" s="33">
        <f>$C$14</f>
        <v>200000000</v>
      </c>
      <c r="X29" s="33">
        <f>$C$14</f>
        <v>200000000</v>
      </c>
      <c r="Y29" s="33">
        <f>$C$14</f>
        <v>200000000</v>
      </c>
      <c r="Z29" s="33">
        <f>$C$14</f>
        <v>200000000</v>
      </c>
      <c r="AA29" s="34">
        <f>SUM(C29:Z29)</f>
        <v>4800000000</v>
      </c>
    </row>
    <row r="30" spans="2:27">
      <c r="B30" s="14" t="s">
        <v>126</v>
      </c>
      <c r="C30" s="39">
        <f>C27-C28-C29</f>
        <v>-542000000</v>
      </c>
      <c r="D30" s="39">
        <f>D27-D28-D29</f>
        <v>-439400000</v>
      </c>
      <c r="E30" s="39">
        <f>E27-E28-E29</f>
        <v>-341930000</v>
      </c>
      <c r="F30" s="39">
        <f>F27-F28-F29</f>
        <v>-249333500</v>
      </c>
      <c r="G30" s="39">
        <f>G27-G28-G29</f>
        <v>-161366825</v>
      </c>
      <c r="H30" s="39">
        <f>H27-H28-H29</f>
        <v>-77798483.750000119</v>
      </c>
      <c r="I30" s="39">
        <f>I27-I28-I29</f>
        <v>1591440.4375</v>
      </c>
      <c r="J30" s="39">
        <f>J27-J28-J29</f>
        <v>77011868.415624857</v>
      </c>
      <c r="K30" s="39">
        <f>K27-K28-K29</f>
        <v>148661274.99484348</v>
      </c>
      <c r="L30" s="39">
        <f>L27-L28-L29</f>
        <v>216728211.24510133</v>
      </c>
      <c r="M30" s="39">
        <f>M27-M28-M29</f>
        <v>281391800.68284619</v>
      </c>
      <c r="N30" s="39">
        <f>N27-N28-N29</f>
        <v>342822210.64870381</v>
      </c>
      <c r="O30" s="39">
        <f>O27-O28-O29</f>
        <v>401181100.11626863</v>
      </c>
      <c r="P30" s="39">
        <f>P27-P28-P29</f>
        <v>456622045.11045504</v>
      </c>
      <c r="Q30" s="39">
        <f>Q27-Q28-Q29</f>
        <v>509290942.85493231</v>
      </c>
      <c r="R30" s="39">
        <f>R27-R28-R29</f>
        <v>559326395.71218586</v>
      </c>
      <c r="S30" s="39">
        <f>S27-S28-S29</f>
        <v>606860075.92657638</v>
      </c>
      <c r="T30" s="39">
        <f>T27-T28-T29</f>
        <v>652017072.13024759</v>
      </c>
      <c r="U30" s="39">
        <f>U27-U28-U29</f>
        <v>694916218.52373505</v>
      </c>
      <c r="V30" s="39">
        <f>V27-V28-V29</f>
        <v>735670407.59754801</v>
      </c>
      <c r="W30" s="39">
        <f>W27-W28-W29</f>
        <v>774386887.21767092</v>
      </c>
      <c r="X30" s="39">
        <f>X27-X28-X29</f>
        <v>811167542.8567872</v>
      </c>
      <c r="Y30" s="39">
        <f>Y27-Y28-Y29</f>
        <v>846109165.71394801</v>
      </c>
      <c r="Z30" s="39">
        <f>Z27-Z28-Z29</f>
        <v>879303707.42825031</v>
      </c>
      <c r="AA30" s="40">
        <f>SUM(C30:Z30)</f>
        <v>7183229558.863224</v>
      </c>
    </row>
    <row r="32" spans="2:27">
      <c r="B32" s="7" t="s">
        <v>127</v>
      </c>
      <c r="C32" s="33">
        <f>C30-$C$15</f>
        <v>-1042000000</v>
      </c>
      <c r="D32" s="33">
        <f>D30</f>
        <v>-439400000</v>
      </c>
      <c r="E32" s="33">
        <f>E30</f>
        <v>-341930000</v>
      </c>
      <c r="F32" s="33">
        <f>F30</f>
        <v>-249333500</v>
      </c>
      <c r="G32" s="33">
        <f>G30</f>
        <v>-161366825</v>
      </c>
      <c r="H32" s="33">
        <f>H30</f>
        <v>-77798483.750000119</v>
      </c>
      <c r="I32" s="33">
        <f>I30</f>
        <v>1591440.4375</v>
      </c>
      <c r="J32" s="33">
        <f>J30</f>
        <v>77011868.415624857</v>
      </c>
      <c r="K32" s="33">
        <f>K30</f>
        <v>148661274.99484348</v>
      </c>
      <c r="L32" s="33">
        <f>L30</f>
        <v>216728211.24510133</v>
      </c>
      <c r="M32" s="33">
        <f>M30</f>
        <v>281391800.68284619</v>
      </c>
      <c r="N32" s="33">
        <f>N30</f>
        <v>342822210.64870381</v>
      </c>
      <c r="O32" s="33">
        <f>O30</f>
        <v>401181100.11626863</v>
      </c>
      <c r="P32" s="33">
        <f>P30</f>
        <v>456622045.11045504</v>
      </c>
      <c r="Q32" s="33">
        <f>Q30</f>
        <v>509290942.85493231</v>
      </c>
      <c r="R32" s="33">
        <f>R30</f>
        <v>559326395.71218586</v>
      </c>
      <c r="S32" s="33">
        <f>S30</f>
        <v>606860075.92657638</v>
      </c>
      <c r="T32" s="33">
        <f>T30</f>
        <v>652017072.13024759</v>
      </c>
      <c r="U32" s="33">
        <f>U30</f>
        <v>694916218.52373505</v>
      </c>
      <c r="V32" s="33">
        <f>V30</f>
        <v>735670407.59754801</v>
      </c>
      <c r="W32" s="33">
        <f>W30</f>
        <v>774386887.21767092</v>
      </c>
      <c r="X32" s="33">
        <f>X30</f>
        <v>811167542.8567872</v>
      </c>
      <c r="Y32" s="33">
        <f>Y30</f>
        <v>846109165.71394801</v>
      </c>
      <c r="Z32" s="33">
        <f>Z30</f>
        <v>879303707.42825031</v>
      </c>
      <c r="AA32" s="34">
        <f>SUM(C32:Z32)</f>
        <v>6683229558.863225</v>
      </c>
    </row>
    <row r="33" spans="2:26">
      <c r="B33" s="41" t="s">
        <v>128</v>
      </c>
      <c r="C33" s="42">
        <f>$C$16+C32</f>
        <v>1958000000</v>
      </c>
      <c r="D33" s="42">
        <f>C33+D32</f>
        <v>1518600000</v>
      </c>
      <c r="E33" s="42">
        <f>D33+E32</f>
        <v>1176670000</v>
      </c>
      <c r="F33" s="42">
        <f>E33+F32</f>
        <v>927336500</v>
      </c>
      <c r="G33" s="42">
        <f>F33+G32</f>
        <v>765969675</v>
      </c>
      <c r="H33" s="42">
        <f>G33+H32</f>
        <v>688171191.24999988</v>
      </c>
      <c r="I33" s="42">
        <f>H33+I32</f>
        <v>689762631.68749988</v>
      </c>
      <c r="J33" s="42">
        <f>I33+J32</f>
        <v>766774500.10312474</v>
      </c>
      <c r="K33" s="42">
        <f>J33+K32</f>
        <v>915435775.09796822</v>
      </c>
      <c r="L33" s="42">
        <f>K33+L32</f>
        <v>1132163986.3430696</v>
      </c>
      <c r="M33" s="42">
        <f>L33+M32</f>
        <v>1413555787.0259156</v>
      </c>
      <c r="N33" s="42">
        <f>M33+N32</f>
        <v>1756377997.6746194</v>
      </c>
      <c r="O33" s="42">
        <f>N33+O32</f>
        <v>2157559097.7908878</v>
      </c>
      <c r="P33" s="42">
        <f>O33+P32</f>
        <v>2614181142.9013429</v>
      </c>
      <c r="Q33" s="42">
        <f>P33+Q32</f>
        <v>3123472085.7562752</v>
      </c>
      <c r="R33" s="42">
        <f>Q33+R32</f>
        <v>3682798481.468461</v>
      </c>
      <c r="S33" s="42">
        <f>R33+S32</f>
        <v>4289658557.3950377</v>
      </c>
      <c r="T33" s="42">
        <f>S33+T32</f>
        <v>4941675629.5252857</v>
      </c>
      <c r="U33" s="42">
        <f>T33+U32</f>
        <v>5636591848.0490208</v>
      </c>
      <c r="V33" s="42">
        <f>U33+V32</f>
        <v>6372262255.6465683</v>
      </c>
      <c r="W33" s="42">
        <f>V33+W32</f>
        <v>7146649142.8642387</v>
      </c>
      <c r="X33" s="42">
        <f>W33+X32</f>
        <v>7957816685.7210255</v>
      </c>
      <c r="Y33" s="42">
        <f>X33+Y32</f>
        <v>8803925851.4349728</v>
      </c>
      <c r="Z33" s="42">
        <f>Y33+Z32</f>
        <v>9683229558.863224</v>
      </c>
    </row>
    <row r="36" spans="2:26">
      <c r="B36" s="50" t="s">
        <v>129</v>
      </c>
      <c r="C36" s="50"/>
      <c r="D36" s="50"/>
      <c r="E36" s="50"/>
      <c r="F36" s="50"/>
      <c r="G36" s="50"/>
      <c r="H36" s="50"/>
      <c r="I36" s="50"/>
      <c r="J36" s="50"/>
    </row>
    <row r="37" spans="2:26">
      <c r="B37" s="6" t="s">
        <v>130</v>
      </c>
      <c r="C37" s="43">
        <f>(NPV($C$17,D32:Z32)+C32)/1000000</f>
        <v>4666.7147027535129</v>
      </c>
      <c r="D37" s="25" t="str">
        <f>"(target: &gt; 0)"</f>
        <v>(target: &gt; 0)</v>
      </c>
    </row>
    <row r="38" spans="2:26">
      <c r="B38" s="6" t="s">
        <v>131</v>
      </c>
      <c r="C38" s="44">
        <f>IFERROR((1+IRR(C32:Z32))^12-1,0)</f>
        <v>1.9119128022753817</v>
      </c>
      <c r="D38" s="25" t="str">
        <f>"(target: &gt; "&amp;TEXT(CHOOSE($C$6,'1. Assumptions'!C35,'1. Assumptions'!D35,'1. Assumptions'!E35),"0.0%")&amp;")"</f>
        <v>(target: &gt; 20.0%)</v>
      </c>
    </row>
    <row r="39" spans="2:26">
      <c r="B39" s="6" t="s">
        <v>132</v>
      </c>
      <c r="C39" s="45">
        <f>IFERROR(MATCH(TRUE(),INDEX(C41:Z41&gt;=0,0),0),"&gt; 24")</f>
        <v>15</v>
      </c>
      <c r="D39" s="25" t="str">
        <f>"(target: &lt; 24)"</f>
        <v>(target: &lt; 24)</v>
      </c>
    </row>
    <row r="40" spans="2:26">
      <c r="B40" s="6" t="s">
        <v>133</v>
      </c>
      <c r="C40" s="45" t="str">
        <f>IFERROR(MATCH(TRUE(),INDEX(C33:Z33&lt;0,0),0)-1,"&gt;= 24")</f>
        <v>&gt;= 24</v>
      </c>
      <c r="D40" s="25" t="str">
        <f>"(target: &gt;= 12)"</f>
        <v>(target: &gt;= 12)</v>
      </c>
    </row>
    <row r="41" spans="2:26">
      <c r="B41" s="46" t="s">
        <v>134</v>
      </c>
      <c r="C41" s="47">
        <f>C32</f>
        <v>-1042000000</v>
      </c>
      <c r="D41" s="47">
        <f>C41+D32</f>
        <v>-1481400000</v>
      </c>
      <c r="E41" s="47">
        <f>D41+E32</f>
        <v>-1823330000</v>
      </c>
      <c r="F41" s="47">
        <f>E41+F32</f>
        <v>-2072663500</v>
      </c>
      <c r="G41" s="47">
        <f>F41+G32</f>
        <v>-2234030325</v>
      </c>
      <c r="H41" s="47">
        <f>G41+H32</f>
        <v>-2311828808.75</v>
      </c>
      <c r="I41" s="47">
        <f>H41+I32</f>
        <v>-2310237368.3125</v>
      </c>
      <c r="J41" s="47">
        <f>I41+J32</f>
        <v>-2233225499.8968754</v>
      </c>
      <c r="K41" s="47">
        <f>J41+K32</f>
        <v>-2084564224.9020319</v>
      </c>
      <c r="L41" s="47">
        <f>K41+L32</f>
        <v>-1867836013.6569304</v>
      </c>
      <c r="M41" s="47">
        <f>L41+M32</f>
        <v>-1586444212.9740844</v>
      </c>
      <c r="N41" s="47">
        <f>M41+N32</f>
        <v>-1243622002.3253806</v>
      </c>
      <c r="O41" s="47">
        <f>N41+O32</f>
        <v>-842440902.20911193</v>
      </c>
      <c r="P41" s="47">
        <f>O41+P32</f>
        <v>-385818857.09865689</v>
      </c>
      <c r="Q41" s="47">
        <f>P41+Q32</f>
        <v>123472085.75627542</v>
      </c>
      <c r="R41" s="47">
        <f>Q41+R32</f>
        <v>682798481.46846128</v>
      </c>
      <c r="S41" s="47">
        <f>R41+S32</f>
        <v>1289658557.3950377</v>
      </c>
      <c r="T41" s="47">
        <f>S41+T32</f>
        <v>1941675629.5252852</v>
      </c>
      <c r="U41" s="47">
        <f>T41+U32</f>
        <v>2636591848.0490203</v>
      </c>
      <c r="V41" s="47">
        <f>U41+V32</f>
        <v>3372262255.6465683</v>
      </c>
      <c r="W41" s="47">
        <f>V41+W32</f>
        <v>4146649142.8642392</v>
      </c>
      <c r="X41" s="47">
        <f>W41+X32</f>
        <v>4957816685.7210264</v>
      </c>
      <c r="Y41" s="47">
        <f>X41+Y32</f>
        <v>5803925851.4349747</v>
      </c>
      <c r="Z41" s="47">
        <f>Y41+Z32</f>
        <v>6683229558.863225</v>
      </c>
    </row>
    <row r="43" spans="2:26">
      <c r="B43" s="50" t="s">
        <v>135</v>
      </c>
      <c r="C43" s="50"/>
      <c r="D43" s="50"/>
      <c r="E43" s="50"/>
      <c r="F43" s="50"/>
      <c r="G43" s="50"/>
      <c r="H43" s="50"/>
      <c r="I43" s="50"/>
      <c r="J43" s="50"/>
    </row>
    <row r="44" spans="2:26">
      <c r="B44" s="6" t="s">
        <v>136</v>
      </c>
      <c r="C44" s="52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✓ GO — NPV+ và IRR &gt; WACC</v>
      </c>
      <c r="D44" s="52"/>
      <c r="E44" s="52"/>
      <c r="F44" s="52"/>
      <c r="G44" s="52"/>
      <c r="H44" s="52"/>
      <c r="I44" s="52"/>
      <c r="J44" s="52"/>
    </row>
  </sheetData>
  <mergeCells count="6">
    <mergeCell ref="C44:J44"/>
    <mergeCell ref="B2:H2"/>
    <mergeCell ref="D4:H4"/>
    <mergeCell ref="B20:AA20"/>
    <mergeCell ref="B36:J36"/>
    <mergeCell ref="B43:J43"/>
  </mergeCells>
  <conditionalFormatting sqref="C33">
    <cfRule type="cellIs" dxfId="28" priority="2" operator="lessThan">
      <formula>0</formula>
    </cfRule>
  </conditionalFormatting>
  <conditionalFormatting sqref="D33">
    <cfRule type="cellIs" dxfId="27" priority="3" operator="lessThan">
      <formula>0</formula>
    </cfRule>
  </conditionalFormatting>
  <conditionalFormatting sqref="E33">
    <cfRule type="cellIs" dxfId="26" priority="4" operator="lessThan">
      <formula>0</formula>
    </cfRule>
  </conditionalFormatting>
  <conditionalFormatting sqref="F33">
    <cfRule type="cellIs" dxfId="25" priority="5" operator="lessThan">
      <formula>0</formula>
    </cfRule>
  </conditionalFormatting>
  <conditionalFormatting sqref="G33">
    <cfRule type="cellIs" dxfId="24" priority="6" operator="lessThan">
      <formula>0</formula>
    </cfRule>
  </conditionalFormatting>
  <conditionalFormatting sqref="H33">
    <cfRule type="cellIs" dxfId="23" priority="7" operator="lessThan">
      <formula>0</formula>
    </cfRule>
  </conditionalFormatting>
  <conditionalFormatting sqref="I33">
    <cfRule type="cellIs" dxfId="22" priority="8" operator="lessThan">
      <formula>0</formula>
    </cfRule>
  </conditionalFormatting>
  <conditionalFormatting sqref="J33">
    <cfRule type="cellIs" dxfId="21" priority="9" operator="lessThan">
      <formula>0</formula>
    </cfRule>
  </conditionalFormatting>
  <conditionalFormatting sqref="K33">
    <cfRule type="cellIs" dxfId="20" priority="10" operator="lessThan">
      <formula>0</formula>
    </cfRule>
  </conditionalFormatting>
  <conditionalFormatting sqref="L33">
    <cfRule type="cellIs" dxfId="19" priority="11" operator="lessThan">
      <formula>0</formula>
    </cfRule>
  </conditionalFormatting>
  <conditionalFormatting sqref="M33">
    <cfRule type="cellIs" dxfId="18" priority="12" operator="lessThan">
      <formula>0</formula>
    </cfRule>
  </conditionalFormatting>
  <conditionalFormatting sqref="N33">
    <cfRule type="cellIs" dxfId="17" priority="13" operator="lessThan">
      <formula>0</formula>
    </cfRule>
  </conditionalFormatting>
  <conditionalFormatting sqref="O33">
    <cfRule type="cellIs" dxfId="16" priority="14" operator="lessThan">
      <formula>0</formula>
    </cfRule>
  </conditionalFormatting>
  <conditionalFormatting sqref="P33">
    <cfRule type="cellIs" dxfId="15" priority="15" operator="lessThan">
      <formula>0</formula>
    </cfRule>
  </conditionalFormatting>
  <conditionalFormatting sqref="Q33">
    <cfRule type="cellIs" dxfId="14" priority="16" operator="lessThan">
      <formula>0</formula>
    </cfRule>
  </conditionalFormatting>
  <conditionalFormatting sqref="R33">
    <cfRule type="cellIs" dxfId="13" priority="17" operator="lessThan">
      <formula>0</formula>
    </cfRule>
  </conditionalFormatting>
  <conditionalFormatting sqref="S33">
    <cfRule type="cellIs" dxfId="12" priority="18" operator="lessThan">
      <formula>0</formula>
    </cfRule>
  </conditionalFormatting>
  <conditionalFormatting sqref="T33">
    <cfRule type="cellIs" dxfId="11" priority="19" operator="lessThan">
      <formula>0</formula>
    </cfRule>
  </conditionalFormatting>
  <conditionalFormatting sqref="U33">
    <cfRule type="cellIs" dxfId="10" priority="20" operator="lessThan">
      <formula>0</formula>
    </cfRule>
  </conditionalFormatting>
  <conditionalFormatting sqref="V33">
    <cfRule type="cellIs" dxfId="9" priority="21" operator="lessThan">
      <formula>0</formula>
    </cfRule>
  </conditionalFormatting>
  <conditionalFormatting sqref="W33">
    <cfRule type="cellIs" dxfId="8" priority="22" operator="lessThan">
      <formula>0</formula>
    </cfRule>
  </conditionalFormatting>
  <conditionalFormatting sqref="X33">
    <cfRule type="cellIs" dxfId="7" priority="23" operator="lessThan">
      <formula>0</formula>
    </cfRule>
  </conditionalFormatting>
  <conditionalFormatting sqref="Y33">
    <cfRule type="cellIs" dxfId="6" priority="24" operator="lessThan">
      <formula>0</formula>
    </cfRule>
  </conditionalFormatting>
  <conditionalFormatting sqref="Z33">
    <cfRule type="cellIs" dxfId="5" priority="25" operator="lessThan">
      <formula>0</formula>
    </cfRule>
  </conditionalFormatting>
  <conditionalFormatting sqref="C37">
    <cfRule type="cellIs" dxfId="4" priority="26" operator="greaterThan">
      <formula>0</formula>
    </cfRule>
    <cfRule type="cellIs" dxfId="3" priority="27" operator="lessThanOrEqual">
      <formula>0</formula>
    </cfRule>
  </conditionalFormatting>
  <conditionalFormatting sqref="C40">
    <cfRule type="expression" dxfId="2" priority="30">
      <formula>AND(ISNUMBER(C40),C40&lt;12)</formula>
    </cfRule>
  </conditionalFormatting>
  <dataValidations count="1">
    <dataValidation type="list" sqref="C4" xr:uid="{00000000-0002-0000-0200-000000000000}">
      <formula1>"Optimistic,Base,Pessimistic"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00000000-000E-0000-0200-00001C000000}">
            <xm:f>C38&gt;CHOOSE($C$6,'1. Assumptions'!C35,'1. Assumptions'!D35,'1. Assumptions'!E35)</xm:f>
            <x14:dxf>
              <font>
                <b/>
                <sz val="11"/>
                <color rgb="FF16A34A"/>
                <name val="Arial"/>
                <charset val="1"/>
              </font>
              <fill>
                <patternFill>
                  <bgColor rgb="FFDCFCE7"/>
                </patternFill>
              </fill>
            </x14:dxf>
          </x14:cfRule>
          <x14:cfRule type="expression" priority="29" id="{00000000-000E-0000-0200-00001D000000}">
            <xm:f>C38&lt;=CHOOSE($C$6,'1. Assumptions'!C35,'1. Assumptions'!D35,'1. Assumptions'!E35)</xm:f>
            <x14:dxf>
              <font>
                <b/>
                <sz val="11"/>
                <color rgb="FFDC2626"/>
                <name val="Arial"/>
                <charset val="1"/>
              </font>
              <fill>
                <patternFill>
                  <bgColor rgb="FFFEE2E2"/>
                </patternFill>
              </fill>
            </x14:dxf>
          </x14:cfRule>
          <xm:sqref>C38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Vu Quang Phuc (S.AI.20K)</cp:lastModifiedBy>
  <cp:revision>0</cp:revision>
  <dcterms:created xsi:type="dcterms:W3CDTF">2026-05-03T14:07:25Z</dcterms:created>
  <dcterms:modified xsi:type="dcterms:W3CDTF">2026-05-04T05:59:14Z</dcterms:modified>
  <cp:category/>
  <cp:contentStatus/>
</cp:coreProperties>
</file>